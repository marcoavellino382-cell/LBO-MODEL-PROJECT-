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78B1F04-D34E-4611-B641-7830C32D0155}" xr6:coauthVersionLast="47" xr6:coauthVersionMax="47" xr10:uidLastSave="{00000000-0000-0000-0000-000000000000}"/>
  <bookViews>
    <workbookView xWindow="-120" yWindow="-120" windowWidth="20730" windowHeight="11160" xr2:uid="{519C0E9C-C049-4DD9-95F3-5D12009CC882}"/>
  </bookViews>
  <sheets>
    <sheet name="Cover" sheetId="2" r:id="rId1"/>
    <sheet name="LB0_Mode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3" i="1" l="1"/>
  <c r="B65" i="1" s="1"/>
  <c r="B64" i="1"/>
  <c r="B61" i="1"/>
  <c r="D52" i="1"/>
  <c r="C52" i="1"/>
  <c r="C53" i="1" s="1"/>
  <c r="D51" i="1" s="1"/>
  <c r="C40" i="1"/>
  <c r="C55" i="1"/>
  <c r="C51" i="1"/>
  <c r="B53" i="1"/>
  <c r="D45" i="1"/>
  <c r="E45" i="1"/>
  <c r="F45" i="1"/>
  <c r="G45" i="1"/>
  <c r="D44" i="1"/>
  <c r="E44" i="1"/>
  <c r="F44" i="1"/>
  <c r="G44" i="1"/>
  <c r="C45" i="1"/>
  <c r="C44" i="1"/>
  <c r="C41" i="1"/>
  <c r="C42" i="1" s="1"/>
  <c r="C43" i="1" s="1"/>
  <c r="C47" i="1" s="1"/>
  <c r="D39" i="1"/>
  <c r="E39" i="1"/>
  <c r="F39" i="1"/>
  <c r="G39" i="1"/>
  <c r="C39" i="1"/>
  <c r="D38" i="1"/>
  <c r="E38" i="1"/>
  <c r="F38" i="1"/>
  <c r="G38" i="1"/>
  <c r="C38" i="1"/>
  <c r="D37" i="1"/>
  <c r="E37" i="1"/>
  <c r="F37" i="1"/>
  <c r="G37" i="1"/>
  <c r="C37" i="1"/>
  <c r="D36" i="1"/>
  <c r="E36" i="1" s="1"/>
  <c r="F36" i="1" s="1"/>
  <c r="G36" i="1" s="1"/>
  <c r="C36" i="1"/>
  <c r="F19" i="1"/>
  <c r="F20" i="1"/>
  <c r="F18" i="1"/>
  <c r="E21" i="1"/>
  <c r="E18" i="1"/>
  <c r="B21" i="1"/>
  <c r="B20" i="1"/>
  <c r="B19" i="1"/>
  <c r="B18" i="1"/>
  <c r="B13" i="1"/>
  <c r="B11" i="1"/>
  <c r="B9" i="1"/>
  <c r="B7" i="1"/>
  <c r="B67" i="1" l="1"/>
  <c r="B66" i="1"/>
  <c r="D55" i="1"/>
  <c r="D40" i="1" s="1"/>
  <c r="D41" i="1" s="1"/>
  <c r="D53" i="1"/>
  <c r="E51" i="1" s="1"/>
  <c r="D42" i="1"/>
  <c r="D43" i="1" s="1"/>
  <c r="D47" i="1" s="1"/>
  <c r="E55" i="1" l="1"/>
  <c r="E40" i="1" s="1"/>
  <c r="E41" i="1" s="1"/>
  <c r="E42" i="1" s="1"/>
  <c r="E43" i="1" s="1"/>
  <c r="E47" i="1" s="1"/>
  <c r="E52" i="1" s="1"/>
  <c r="E53" i="1" s="1"/>
  <c r="F51" i="1" s="1"/>
  <c r="F55" i="1" l="1"/>
  <c r="F40" i="1" s="1"/>
  <c r="F41" i="1" s="1"/>
  <c r="F42" i="1" l="1"/>
  <c r="F43" i="1" s="1"/>
  <c r="F47" i="1" s="1"/>
  <c r="F52" i="1" s="1"/>
  <c r="F53" i="1" s="1"/>
  <c r="G51" i="1" s="1"/>
  <c r="G55" i="1"/>
  <c r="G40" i="1" s="1"/>
  <c r="G41" i="1" s="1"/>
  <c r="G42" i="1" l="1"/>
  <c r="G43" i="1" s="1"/>
  <c r="G47" i="1" s="1"/>
  <c r="G52" i="1" s="1"/>
  <c r="G53" i="1" s="1"/>
</calcChain>
</file>

<file path=xl/sharedStrings.xml><?xml version="1.0" encoding="utf-8"?>
<sst xmlns="http://schemas.openxmlformats.org/spreadsheetml/2006/main" count="68" uniqueCount="65">
  <si>
    <t xml:space="preserve">Anno 0 </t>
  </si>
  <si>
    <t>Anno 1</t>
  </si>
  <si>
    <t>Anno 2</t>
  </si>
  <si>
    <t>Anno 3</t>
  </si>
  <si>
    <t>Anno 4</t>
  </si>
  <si>
    <t>Anno 5</t>
  </si>
  <si>
    <t>Purchase Assumptions</t>
  </si>
  <si>
    <t>Prezzo azione attuale</t>
  </si>
  <si>
    <t>Premio di acquisizione</t>
  </si>
  <si>
    <t>Prezzo di offerta per azione</t>
  </si>
  <si>
    <t xml:space="preserve">Azioni in circolazione </t>
  </si>
  <si>
    <t>Fully Diluted Equity Value</t>
  </si>
  <si>
    <t>Enterprise Value</t>
  </si>
  <si>
    <t>EBITDA</t>
  </si>
  <si>
    <t>EV/EBITDA</t>
  </si>
  <si>
    <t>Costi di transazione &amp; Fees</t>
  </si>
  <si>
    <t xml:space="preserve">(+) Debito netto esistente </t>
  </si>
  <si>
    <t>USES</t>
  </si>
  <si>
    <t>Importo</t>
  </si>
  <si>
    <t>SOURCES</t>
  </si>
  <si>
    <t xml:space="preserve">Importo </t>
  </si>
  <si>
    <t>%</t>
  </si>
  <si>
    <t>Equity Value</t>
  </si>
  <si>
    <t>Rif. Debito Esistente</t>
  </si>
  <si>
    <t>Fees</t>
  </si>
  <si>
    <t>TOT IMPIEGHI</t>
  </si>
  <si>
    <t xml:space="preserve">Debito Bancario Senior </t>
  </si>
  <si>
    <t xml:space="preserve">Debito Mezzanino </t>
  </si>
  <si>
    <t xml:space="preserve">Sponsor Equity </t>
  </si>
  <si>
    <t xml:space="preserve">TOT. FONTI </t>
  </si>
  <si>
    <t>Operating Drivers</t>
  </si>
  <si>
    <t xml:space="preserve">Tasso di crescita Fatturato </t>
  </si>
  <si>
    <t>Margine EBITDA</t>
  </si>
  <si>
    <t>Tax Rate</t>
  </si>
  <si>
    <t>Variazione del NWC</t>
  </si>
  <si>
    <t>CapEx</t>
  </si>
  <si>
    <t>Revenue</t>
  </si>
  <si>
    <t>(-) D&amp;A</t>
  </si>
  <si>
    <t>EBIT</t>
  </si>
  <si>
    <t xml:space="preserve">(-) Interessi passivi </t>
  </si>
  <si>
    <t>EBT</t>
  </si>
  <si>
    <t>(-) Tasse</t>
  </si>
  <si>
    <t>Net Income</t>
  </si>
  <si>
    <t>(+) D&amp;A</t>
  </si>
  <si>
    <t>(-) CapEx</t>
  </si>
  <si>
    <t>(-) Variazione NWC</t>
  </si>
  <si>
    <t xml:space="preserve">FREE CASH FLOW </t>
  </si>
  <si>
    <t>DEBT SCHEDULE</t>
  </si>
  <si>
    <t>Beginning Balance</t>
  </si>
  <si>
    <t>(-) Cash Sweep</t>
  </si>
  <si>
    <t>Ending Balance</t>
  </si>
  <si>
    <t>Tasso di interesse</t>
  </si>
  <si>
    <t>Interessi passivi Senior</t>
  </si>
  <si>
    <t>RETURNS ANALYSIS</t>
  </si>
  <si>
    <t xml:space="preserve">Enterprise Value di uscita </t>
  </si>
  <si>
    <t>(-)Debito residuo anno 5</t>
  </si>
  <si>
    <t>Ending Equity Value</t>
  </si>
  <si>
    <t>MOIC</t>
  </si>
  <si>
    <t>IRR</t>
  </si>
  <si>
    <r>
      <rPr>
        <b/>
        <sz val="16"/>
        <color theme="1"/>
        <rFont val="Calibri"/>
        <family val="2"/>
        <scheme val="minor"/>
      </rPr>
      <t>PRIVATE EQUITY INVESTMENT LEVERAGE BUYOT MODEL</t>
    </r>
    <r>
      <rPr>
        <sz val="16"/>
        <color theme="1"/>
        <rFont val="Calibri"/>
        <family val="2"/>
        <scheme val="minor"/>
      </rPr>
      <t xml:space="preserve"> </t>
    </r>
  </si>
  <si>
    <t>ENCOMPASS HEALTH CORPORATION (NYSE: EHC) LBO Valuation &amp; Returns Analysis</t>
  </si>
  <si>
    <t xml:space="preserve">5 Year Holding Period Analysis &amp; Cash Sweep Debt Schedule </t>
  </si>
  <si>
    <r>
      <rPr>
        <b/>
        <sz val="11"/>
        <color theme="1"/>
        <rFont val="Calibri"/>
        <family val="2"/>
        <scheme val="minor"/>
      </rPr>
      <t>Prepared by</t>
    </r>
    <r>
      <rPr>
        <sz val="11"/>
        <color theme="1"/>
        <rFont val="Calibri"/>
        <family val="2"/>
        <scheme val="minor"/>
      </rPr>
      <t xml:space="preserve">: Marco Avellino </t>
    </r>
  </si>
  <si>
    <r>
      <rPr>
        <b/>
        <sz val="11"/>
        <color theme="1"/>
        <rFont val="Calibri"/>
        <family val="2"/>
        <scheme val="minor"/>
      </rPr>
      <t>Date</t>
    </r>
    <r>
      <rPr>
        <sz val="11"/>
        <color theme="1"/>
        <rFont val="Calibri"/>
        <family val="2"/>
        <scheme val="minor"/>
      </rPr>
      <t xml:space="preserve">: 17/09/2026 </t>
    </r>
  </si>
  <si>
    <r>
      <rPr>
        <b/>
        <sz val="11"/>
        <color theme="1"/>
        <rFont val="Calibri"/>
        <family val="2"/>
        <scheme val="minor"/>
      </rPr>
      <t>Format</t>
    </r>
    <r>
      <rPr>
        <sz val="11"/>
        <color theme="1"/>
        <rFont val="Calibri"/>
        <family val="2"/>
        <scheme val="minor"/>
      </rPr>
      <t xml:space="preserve">: Financial Portfolio Project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</si>
</sst>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€&quot;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2" tint="-0.74999237037263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0" fontId="0" fillId="0" borderId="0" xfId="0" applyNumberFormat="1"/>
    <xf numFmtId="4" fontId="0" fillId="0" borderId="0" xfId="0" applyNumberFormat="1"/>
    <xf numFmtId="3" fontId="0" fillId="0" borderId="0" xfId="0" applyNumberForma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10" fontId="3" fillId="0" borderId="0" xfId="0" applyNumberFormat="1" applyFont="1"/>
    <xf numFmtId="4" fontId="3" fillId="0" borderId="0" xfId="0" applyNumberFormat="1" applyFont="1"/>
    <xf numFmtId="3" fontId="3" fillId="0" borderId="0" xfId="0" applyNumberFormat="1" applyFont="1"/>
    <xf numFmtId="4" fontId="2" fillId="0" borderId="0" xfId="0" applyNumberFormat="1" applyFont="1" applyAlignment="1">
      <alignment wrapText="1"/>
    </xf>
    <xf numFmtId="165" fontId="0" fillId="0" borderId="0" xfId="0" applyNumberFormat="1"/>
    <xf numFmtId="2" fontId="0" fillId="0" borderId="0" xfId="0" applyNumberFormat="1"/>
    <xf numFmtId="0" fontId="1" fillId="2" borderId="0" xfId="0" applyFont="1" applyFill="1" applyAlignment="1">
      <alignment wrapText="1"/>
    </xf>
    <xf numFmtId="0" fontId="4" fillId="0" borderId="0" xfId="0" applyFont="1"/>
    <xf numFmtId="0" fontId="6" fillId="0" borderId="0" xfId="0" applyFont="1"/>
    <xf numFmtId="0" fontId="0" fillId="3" borderId="0" xfId="0" applyFill="1"/>
    <xf numFmtId="0" fontId="7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39BEC-98DC-4D90-A54C-1EF5D3C4F8C7}">
  <dimension ref="A3:H10"/>
  <sheetViews>
    <sheetView showGridLines="0" tabSelected="1" workbookViewId="0">
      <selection activeCell="G14" sqref="G14"/>
    </sheetView>
  </sheetViews>
  <sheetFormatPr defaultRowHeight="15" x14ac:dyDescent="0.25"/>
  <sheetData>
    <row r="3" spans="1:8" ht="21" x14ac:dyDescent="0.35">
      <c r="A3" s="14" t="s">
        <v>59</v>
      </c>
    </row>
    <row r="4" spans="1:8" x14ac:dyDescent="0.25">
      <c r="A4" s="16"/>
      <c r="B4" s="16"/>
      <c r="C4" s="16"/>
      <c r="D4" s="16"/>
      <c r="E4" s="16"/>
      <c r="F4" s="16"/>
      <c r="G4" s="16"/>
      <c r="H4" s="16"/>
    </row>
    <row r="5" spans="1:8" ht="23.25" x14ac:dyDescent="0.35">
      <c r="A5" s="15" t="s">
        <v>60</v>
      </c>
    </row>
    <row r="6" spans="1:8" x14ac:dyDescent="0.25">
      <c r="A6" s="17" t="s">
        <v>61</v>
      </c>
    </row>
    <row r="7" spans="1:8" x14ac:dyDescent="0.25">
      <c r="A7" s="16"/>
      <c r="B7" s="16"/>
      <c r="C7" s="16"/>
      <c r="D7" s="16"/>
      <c r="E7" s="16"/>
      <c r="F7" s="16"/>
      <c r="G7" s="16"/>
      <c r="H7" s="16"/>
    </row>
    <row r="8" spans="1:8" x14ac:dyDescent="0.25">
      <c r="A8" t="s">
        <v>62</v>
      </c>
    </row>
    <row r="9" spans="1:8" x14ac:dyDescent="0.25">
      <c r="A9" t="s">
        <v>63</v>
      </c>
    </row>
    <row r="10" spans="1:8" x14ac:dyDescent="0.25">
      <c r="A10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A5E82-F3BB-4561-88B1-731297CE9467}">
  <dimension ref="A1:G67"/>
  <sheetViews>
    <sheetView workbookViewId="0">
      <selection activeCell="A67" sqref="A67"/>
    </sheetView>
  </sheetViews>
  <sheetFormatPr defaultRowHeight="15" x14ac:dyDescent="0.25"/>
  <cols>
    <col min="3" max="3" width="11" customWidth="1"/>
    <col min="4" max="4" width="10.42578125" customWidth="1"/>
    <col min="5" max="5" width="10.85546875" customWidth="1"/>
    <col min="6" max="6" width="10.5703125" customWidth="1"/>
    <col min="7" max="7" width="11.5703125" customWidth="1"/>
  </cols>
  <sheetData>
    <row r="1" spans="1:7" x14ac:dyDescent="0.25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4" spans="1:7" ht="45" x14ac:dyDescent="0.25">
      <c r="A4" s="5" t="s">
        <v>6</v>
      </c>
    </row>
    <row r="5" spans="1:7" ht="45" x14ac:dyDescent="0.25">
      <c r="A5" s="5" t="s">
        <v>7</v>
      </c>
      <c r="B5" s="6">
        <v>95</v>
      </c>
    </row>
    <row r="6" spans="1:7" ht="60" x14ac:dyDescent="0.25">
      <c r="A6" s="5" t="s">
        <v>8</v>
      </c>
      <c r="B6" s="7">
        <v>0.25</v>
      </c>
    </row>
    <row r="7" spans="1:7" ht="60" x14ac:dyDescent="0.25">
      <c r="A7" s="5" t="s">
        <v>9</v>
      </c>
      <c r="B7">
        <f>B5 * (1 + B6)</f>
        <v>118.75</v>
      </c>
    </row>
    <row r="8" spans="1:7" ht="45" x14ac:dyDescent="0.25">
      <c r="A8" s="5" t="s">
        <v>10</v>
      </c>
      <c r="B8" s="6">
        <v>100</v>
      </c>
    </row>
    <row r="9" spans="1:7" ht="60" x14ac:dyDescent="0.25">
      <c r="A9" s="5" t="s">
        <v>11</v>
      </c>
      <c r="B9">
        <f>B7 * B8</f>
        <v>11875</v>
      </c>
    </row>
    <row r="10" spans="1:7" ht="75" x14ac:dyDescent="0.25">
      <c r="A10" s="5" t="s">
        <v>16</v>
      </c>
      <c r="B10" s="8">
        <v>3000</v>
      </c>
    </row>
    <row r="11" spans="1:7" ht="30" x14ac:dyDescent="0.25">
      <c r="A11" s="5" t="s">
        <v>12</v>
      </c>
      <c r="B11" s="2">
        <f>B9 + B10</f>
        <v>14875</v>
      </c>
    </row>
    <row r="12" spans="1:7" x14ac:dyDescent="0.25">
      <c r="A12" s="5" t="s">
        <v>13</v>
      </c>
      <c r="B12" s="9">
        <v>1000</v>
      </c>
    </row>
    <row r="13" spans="1:7" ht="30" x14ac:dyDescent="0.25">
      <c r="A13" s="5" t="s">
        <v>14</v>
      </c>
      <c r="B13">
        <f>B11 / B12</f>
        <v>14.875</v>
      </c>
    </row>
    <row r="14" spans="1:7" ht="60" x14ac:dyDescent="0.25">
      <c r="A14" s="5" t="s">
        <v>15</v>
      </c>
      <c r="B14" s="6">
        <v>125</v>
      </c>
    </row>
    <row r="17" spans="1:7" x14ac:dyDescent="0.25">
      <c r="A17" s="5" t="s">
        <v>17</v>
      </c>
      <c r="B17" s="4" t="s">
        <v>18</v>
      </c>
      <c r="D17" s="4" t="s">
        <v>19</v>
      </c>
      <c r="E17" s="4" t="s">
        <v>20</v>
      </c>
      <c r="F17" s="4" t="s">
        <v>21</v>
      </c>
    </row>
    <row r="18" spans="1:7" ht="45" x14ac:dyDescent="0.25">
      <c r="A18" s="5" t="s">
        <v>22</v>
      </c>
      <c r="B18">
        <f>B9</f>
        <v>11875</v>
      </c>
      <c r="D18" s="5" t="s">
        <v>26</v>
      </c>
      <c r="E18">
        <f>5 * B12</f>
        <v>5000</v>
      </c>
      <c r="F18">
        <f>E18/$E$21</f>
        <v>0.33333333333333331</v>
      </c>
    </row>
    <row r="19" spans="1:7" ht="45" x14ac:dyDescent="0.25">
      <c r="A19" s="10" t="s">
        <v>23</v>
      </c>
      <c r="B19" s="2">
        <f>B10</f>
        <v>3000</v>
      </c>
      <c r="D19" s="5" t="s">
        <v>27</v>
      </c>
      <c r="E19" s="8">
        <v>2000</v>
      </c>
      <c r="F19">
        <f t="shared" ref="F19:F20" si="0">E19/$E$21</f>
        <v>0.13333333333333333</v>
      </c>
    </row>
    <row r="20" spans="1:7" ht="30" x14ac:dyDescent="0.25">
      <c r="A20" s="4" t="s">
        <v>24</v>
      </c>
      <c r="B20">
        <f>B14</f>
        <v>125</v>
      </c>
      <c r="D20" s="5" t="s">
        <v>28</v>
      </c>
      <c r="E20" s="2">
        <v>8000</v>
      </c>
      <c r="F20">
        <f t="shared" si="0"/>
        <v>0.53333333333333333</v>
      </c>
    </row>
    <row r="21" spans="1:7" ht="45" x14ac:dyDescent="0.25">
      <c r="A21" s="5" t="s">
        <v>25</v>
      </c>
      <c r="B21">
        <f>SUM(B18:B20)</f>
        <v>15000</v>
      </c>
      <c r="D21" s="5" t="s">
        <v>29</v>
      </c>
      <c r="E21">
        <f>B21</f>
        <v>15000</v>
      </c>
    </row>
    <row r="25" spans="1:7" ht="30" x14ac:dyDescent="0.25">
      <c r="A25" s="13" t="s">
        <v>30</v>
      </c>
    </row>
    <row r="26" spans="1:7" ht="45" x14ac:dyDescent="0.25">
      <c r="A26" s="5" t="s">
        <v>31</v>
      </c>
      <c r="C26" s="7">
        <v>0.06</v>
      </c>
      <c r="D26" s="7">
        <v>0.06</v>
      </c>
      <c r="E26" s="7">
        <v>0.06</v>
      </c>
      <c r="F26" s="7">
        <v>0.06</v>
      </c>
      <c r="G26" s="7">
        <v>0.06</v>
      </c>
    </row>
    <row r="27" spans="1:7" ht="30" x14ac:dyDescent="0.25">
      <c r="A27" s="5" t="s">
        <v>32</v>
      </c>
      <c r="B27" s="7">
        <v>0.19</v>
      </c>
      <c r="C27" s="7">
        <v>0.19</v>
      </c>
      <c r="D27" s="7">
        <v>0.19</v>
      </c>
      <c r="E27" s="7">
        <v>0.19</v>
      </c>
      <c r="F27" s="7">
        <v>0.19</v>
      </c>
      <c r="G27" s="7">
        <v>0.19</v>
      </c>
    </row>
    <row r="28" spans="1:7" x14ac:dyDescent="0.25">
      <c r="A28" s="5" t="s">
        <v>33</v>
      </c>
      <c r="C28" s="7">
        <v>0.25</v>
      </c>
      <c r="D28" s="7">
        <v>0.25</v>
      </c>
      <c r="E28" s="7">
        <v>0.25</v>
      </c>
      <c r="F28" s="7">
        <v>0.25</v>
      </c>
      <c r="G28" s="7">
        <v>0.25</v>
      </c>
    </row>
    <row r="29" spans="1:7" x14ac:dyDescent="0.25">
      <c r="A29" s="5" t="s">
        <v>35</v>
      </c>
      <c r="C29" s="7">
        <v>0.05</v>
      </c>
      <c r="D29" s="7">
        <v>0.05</v>
      </c>
      <c r="E29" s="7">
        <v>0.05</v>
      </c>
      <c r="F29" s="7">
        <v>0.05</v>
      </c>
      <c r="G29" s="7">
        <v>0.05</v>
      </c>
    </row>
    <row r="30" spans="1:7" ht="45" x14ac:dyDescent="0.25">
      <c r="A30" s="5" t="s">
        <v>34</v>
      </c>
      <c r="C30" s="7">
        <v>0.3</v>
      </c>
      <c r="D30" s="7">
        <v>0.3</v>
      </c>
      <c r="E30" s="7">
        <v>0.3</v>
      </c>
      <c r="F30" s="7">
        <v>0.3</v>
      </c>
      <c r="G30" s="7">
        <v>0.3</v>
      </c>
    </row>
    <row r="36" spans="1:7" x14ac:dyDescent="0.25">
      <c r="A36" s="4" t="s">
        <v>36</v>
      </c>
      <c r="B36" s="2">
        <v>5300</v>
      </c>
      <c r="C36" s="2">
        <f>B36*(1+C26)</f>
        <v>5618</v>
      </c>
      <c r="D36" s="2">
        <f t="shared" ref="D36:G36" si="1">C36*(1+D26)</f>
        <v>5955.08</v>
      </c>
      <c r="E36" s="2">
        <f t="shared" si="1"/>
        <v>6312.3847999999998</v>
      </c>
      <c r="F36" s="2">
        <f t="shared" si="1"/>
        <v>6691.127888</v>
      </c>
      <c r="G36" s="2">
        <f t="shared" si="1"/>
        <v>7092.5955612800008</v>
      </c>
    </row>
    <row r="37" spans="1:7" x14ac:dyDescent="0.25">
      <c r="A37" s="4" t="s">
        <v>13</v>
      </c>
      <c r="B37" s="3"/>
      <c r="C37">
        <f>C36*C27</f>
        <v>1067.42</v>
      </c>
      <c r="D37">
        <f t="shared" ref="D37:G37" si="2">D36*D27</f>
        <v>1131.4652000000001</v>
      </c>
      <c r="E37">
        <f t="shared" si="2"/>
        <v>1199.353112</v>
      </c>
      <c r="F37">
        <f t="shared" si="2"/>
        <v>1271.3142987200001</v>
      </c>
      <c r="G37">
        <f t="shared" si="2"/>
        <v>1347.5931566432002</v>
      </c>
    </row>
    <row r="38" spans="1:7" x14ac:dyDescent="0.25">
      <c r="A38" s="4" t="s">
        <v>37</v>
      </c>
      <c r="C38">
        <f>C36*0.03</f>
        <v>168.54</v>
      </c>
      <c r="D38">
        <f t="shared" ref="D38:G38" si="3">D36*0.03</f>
        <v>178.6524</v>
      </c>
      <c r="E38">
        <f t="shared" si="3"/>
        <v>189.371544</v>
      </c>
      <c r="F38">
        <f t="shared" si="3"/>
        <v>200.73383663999999</v>
      </c>
      <c r="G38">
        <f t="shared" si="3"/>
        <v>212.7778668384</v>
      </c>
    </row>
    <row r="39" spans="1:7" x14ac:dyDescent="0.25">
      <c r="A39" s="4" t="s">
        <v>38</v>
      </c>
      <c r="C39">
        <f>C37-C38</f>
        <v>898.88000000000011</v>
      </c>
      <c r="D39">
        <f t="shared" ref="D39:G39" si="4">D37-D38</f>
        <v>952.81280000000015</v>
      </c>
      <c r="E39">
        <f t="shared" si="4"/>
        <v>1009.981568</v>
      </c>
      <c r="F39">
        <f t="shared" si="4"/>
        <v>1070.5804620800002</v>
      </c>
      <c r="G39">
        <f t="shared" si="4"/>
        <v>1134.8152898048002</v>
      </c>
    </row>
    <row r="40" spans="1:7" ht="45" x14ac:dyDescent="0.25">
      <c r="A40" s="5" t="s">
        <v>39</v>
      </c>
      <c r="C40">
        <f>C55</f>
        <v>300</v>
      </c>
      <c r="D40">
        <f t="shared" ref="D40:G40" si="5">D55</f>
        <v>281.59199999999998</v>
      </c>
      <c r="E40">
        <f t="shared" si="5"/>
        <v>260.33315999999996</v>
      </c>
      <c r="F40">
        <f t="shared" si="5"/>
        <v>235.97384339999996</v>
      </c>
      <c r="G40">
        <f t="shared" si="5"/>
        <v>208.24589902499994</v>
      </c>
    </row>
    <row r="41" spans="1:7" x14ac:dyDescent="0.25">
      <c r="A41" s="4" t="s">
        <v>40</v>
      </c>
      <c r="C41">
        <f>C39-C40</f>
        <v>598.88000000000011</v>
      </c>
      <c r="D41">
        <f t="shared" ref="D41:G41" si="6">D39-D40</f>
        <v>671.22080000000017</v>
      </c>
      <c r="E41">
        <f t="shared" si="6"/>
        <v>749.64840800000002</v>
      </c>
      <c r="F41">
        <f t="shared" si="6"/>
        <v>834.60661868000022</v>
      </c>
      <c r="G41">
        <f t="shared" si="6"/>
        <v>926.56939077980019</v>
      </c>
    </row>
    <row r="42" spans="1:7" x14ac:dyDescent="0.25">
      <c r="A42" s="4" t="s">
        <v>41</v>
      </c>
      <c r="C42" s="11">
        <f>C41*C28</f>
        <v>149.72000000000003</v>
      </c>
      <c r="D42" s="11">
        <f t="shared" ref="D42:G42" si="7">D41*D28</f>
        <v>167.80520000000004</v>
      </c>
      <c r="E42" s="11">
        <f t="shared" si="7"/>
        <v>187.412102</v>
      </c>
      <c r="F42" s="11">
        <f t="shared" si="7"/>
        <v>208.65165467000006</v>
      </c>
      <c r="G42" s="11">
        <f t="shared" si="7"/>
        <v>231.64234769495005</v>
      </c>
    </row>
    <row r="43" spans="1:7" x14ac:dyDescent="0.25">
      <c r="A43" s="4" t="s">
        <v>42</v>
      </c>
      <c r="C43" s="11">
        <f>C41-C42</f>
        <v>449.16000000000008</v>
      </c>
      <c r="D43" s="11">
        <f t="shared" ref="D43:G43" si="8">D41-D42</f>
        <v>503.41560000000015</v>
      </c>
      <c r="E43" s="11">
        <f t="shared" si="8"/>
        <v>562.23630600000001</v>
      </c>
      <c r="F43" s="11">
        <f t="shared" si="8"/>
        <v>625.95496401000014</v>
      </c>
      <c r="G43" s="11">
        <f t="shared" si="8"/>
        <v>694.92704308485008</v>
      </c>
    </row>
    <row r="44" spans="1:7" x14ac:dyDescent="0.25">
      <c r="A44" s="4" t="s">
        <v>43</v>
      </c>
      <c r="C44">
        <f>C38</f>
        <v>168.54</v>
      </c>
      <c r="D44">
        <f t="shared" ref="D44:G44" si="9">D38</f>
        <v>178.6524</v>
      </c>
      <c r="E44">
        <f t="shared" si="9"/>
        <v>189.371544</v>
      </c>
      <c r="F44">
        <f t="shared" si="9"/>
        <v>200.73383663999999</v>
      </c>
      <c r="G44">
        <f t="shared" si="9"/>
        <v>212.7778668384</v>
      </c>
    </row>
    <row r="45" spans="1:7" x14ac:dyDescent="0.25">
      <c r="A45" s="4" t="s">
        <v>44</v>
      </c>
      <c r="C45">
        <f>-(C36 * 0.05)</f>
        <v>-280.90000000000003</v>
      </c>
      <c r="D45">
        <f t="shared" ref="D45:G45" si="10">-(D36 * 0.05)</f>
        <v>-297.75400000000002</v>
      </c>
      <c r="E45">
        <f t="shared" si="10"/>
        <v>-315.61923999999999</v>
      </c>
      <c r="F45">
        <f t="shared" si="10"/>
        <v>-334.55639440000004</v>
      </c>
      <c r="G45">
        <f t="shared" si="10"/>
        <v>-354.62977806400005</v>
      </c>
    </row>
    <row r="46" spans="1:7" ht="45" x14ac:dyDescent="0.25">
      <c r="A46" s="5" t="s">
        <v>45</v>
      </c>
      <c r="C46">
        <v>-30</v>
      </c>
      <c r="D46">
        <v>-30</v>
      </c>
      <c r="E46">
        <v>-30</v>
      </c>
      <c r="F46">
        <v>-30</v>
      </c>
      <c r="G46">
        <v>-30</v>
      </c>
    </row>
    <row r="47" spans="1:7" ht="45" x14ac:dyDescent="0.25">
      <c r="A47" s="5" t="s">
        <v>46</v>
      </c>
      <c r="C47" s="11">
        <f>C43+C44+C45+C46</f>
        <v>306.8</v>
      </c>
      <c r="D47" s="11">
        <f t="shared" ref="D47:G47" si="11">D43+D44+D45+D46</f>
        <v>354.31400000000019</v>
      </c>
      <c r="E47" s="11">
        <f t="shared" si="11"/>
        <v>405.98860999999999</v>
      </c>
      <c r="F47" s="11">
        <f t="shared" si="11"/>
        <v>462.13240625000003</v>
      </c>
      <c r="G47" s="11">
        <f t="shared" si="11"/>
        <v>523.07513185924995</v>
      </c>
    </row>
    <row r="50" spans="1:7" ht="45" x14ac:dyDescent="0.25">
      <c r="A50" s="13" t="s">
        <v>47</v>
      </c>
    </row>
    <row r="51" spans="1:7" ht="45" x14ac:dyDescent="0.25">
      <c r="A51" s="5" t="s">
        <v>48</v>
      </c>
      <c r="C51">
        <f>B53</f>
        <v>5000</v>
      </c>
      <c r="D51">
        <f t="shared" ref="D51:G51" si="12">C53</f>
        <v>4693.2</v>
      </c>
      <c r="E51">
        <f t="shared" si="12"/>
        <v>4338.8859999999995</v>
      </c>
      <c r="F51">
        <f t="shared" si="12"/>
        <v>3932.8973899999996</v>
      </c>
      <c r="G51">
        <f t="shared" si="12"/>
        <v>3470.7649837499994</v>
      </c>
    </row>
    <row r="52" spans="1:7" ht="30" x14ac:dyDescent="0.25">
      <c r="A52" s="5" t="s">
        <v>49</v>
      </c>
      <c r="C52" s="11">
        <f>-MIN(C51, C47)</f>
        <v>-306.8</v>
      </c>
      <c r="D52" s="11">
        <f t="shared" ref="D52:G52" si="13">-MIN(D51, D47)</f>
        <v>-354.31400000000019</v>
      </c>
      <c r="E52" s="11">
        <f t="shared" si="13"/>
        <v>-405.98860999999999</v>
      </c>
      <c r="F52" s="11">
        <f t="shared" si="13"/>
        <v>-462.13240625000003</v>
      </c>
      <c r="G52" s="11">
        <f t="shared" si="13"/>
        <v>-523.07513185924995</v>
      </c>
    </row>
    <row r="53" spans="1:7" ht="30" x14ac:dyDescent="0.25">
      <c r="A53" s="5" t="s">
        <v>50</v>
      </c>
      <c r="B53">
        <f>E18</f>
        <v>5000</v>
      </c>
      <c r="C53">
        <f>C51+C52</f>
        <v>4693.2</v>
      </c>
      <c r="D53">
        <f t="shared" ref="D53:G53" si="14">D51+D52</f>
        <v>4338.8859999999995</v>
      </c>
      <c r="E53">
        <f t="shared" si="14"/>
        <v>3932.8973899999996</v>
      </c>
      <c r="F53">
        <f t="shared" si="14"/>
        <v>3470.7649837499994</v>
      </c>
      <c r="G53">
        <f t="shared" si="14"/>
        <v>2947.6898518907492</v>
      </c>
    </row>
    <row r="54" spans="1:7" ht="45" x14ac:dyDescent="0.25">
      <c r="A54" s="5" t="s">
        <v>51</v>
      </c>
      <c r="C54" s="7">
        <v>0.06</v>
      </c>
      <c r="D54" s="7">
        <v>0.06</v>
      </c>
      <c r="E54" s="7">
        <v>0.06</v>
      </c>
      <c r="F54" s="7">
        <v>0.06</v>
      </c>
      <c r="G54" s="7">
        <v>0.06</v>
      </c>
    </row>
    <row r="55" spans="1:7" ht="45" x14ac:dyDescent="0.25">
      <c r="A55" s="5" t="s">
        <v>52</v>
      </c>
      <c r="C55">
        <f>C51 * C54</f>
        <v>300</v>
      </c>
      <c r="D55">
        <f t="shared" ref="D55:G55" si="15">D51 * D54</f>
        <v>281.59199999999998</v>
      </c>
      <c r="E55">
        <f t="shared" si="15"/>
        <v>260.33315999999996</v>
      </c>
      <c r="F55">
        <f t="shared" si="15"/>
        <v>235.97384339999996</v>
      </c>
      <c r="G55">
        <f t="shared" si="15"/>
        <v>208.24589902499994</v>
      </c>
    </row>
    <row r="60" spans="1:7" ht="45" x14ac:dyDescent="0.25">
      <c r="A60" s="13" t="s">
        <v>53</v>
      </c>
    </row>
    <row r="61" spans="1:7" x14ac:dyDescent="0.25">
      <c r="A61" s="4" t="s">
        <v>13</v>
      </c>
      <c r="B61">
        <f>G37</f>
        <v>1347.5931566432002</v>
      </c>
    </row>
    <row r="62" spans="1:7" x14ac:dyDescent="0.25">
      <c r="A62" s="4" t="s">
        <v>14</v>
      </c>
      <c r="B62">
        <v>14.88</v>
      </c>
    </row>
    <row r="63" spans="1:7" ht="45" x14ac:dyDescent="0.25">
      <c r="A63" s="5" t="s">
        <v>54</v>
      </c>
      <c r="B63">
        <f>B61 * B62</f>
        <v>20052.186170850822</v>
      </c>
    </row>
    <row r="64" spans="1:7" ht="45" x14ac:dyDescent="0.25">
      <c r="A64" s="5" t="s">
        <v>55</v>
      </c>
      <c r="B64">
        <f>-G53</f>
        <v>-2947.6898518907492</v>
      </c>
    </row>
    <row r="65" spans="1:2" ht="45" x14ac:dyDescent="0.25">
      <c r="A65" s="5" t="s">
        <v>56</v>
      </c>
      <c r="B65">
        <f>B63 + B64</f>
        <v>17104.496318960075</v>
      </c>
    </row>
    <row r="66" spans="1:2" x14ac:dyDescent="0.25">
      <c r="A66" s="5" t="s">
        <v>57</v>
      </c>
      <c r="B66" s="12">
        <f>B65 / E20</f>
        <v>2.1380620398700092</v>
      </c>
    </row>
    <row r="67" spans="1:2" x14ac:dyDescent="0.25">
      <c r="A67" s="5" t="s">
        <v>58</v>
      </c>
      <c r="B67" s="1">
        <f>(B65 / E20) ^ (1 / 5) - 1</f>
        <v>0.16413691385503437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Cover</vt:lpstr>
      <vt:lpstr>LB0_Model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Avellino</dc:creator>
  <cp:lastModifiedBy>Marco Avellino</cp:lastModifiedBy>
  <dcterms:created xsi:type="dcterms:W3CDTF">2026-09-17T10:07:20Z</dcterms:created>
  <dcterms:modified xsi:type="dcterms:W3CDTF">2026-09-17T11:53:18Z</dcterms:modified>
</cp:coreProperties>
</file>